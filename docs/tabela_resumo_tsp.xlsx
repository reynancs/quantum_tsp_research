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3ebd9a20ecf0f2e/Desktop/PROJETOS/03_MESTRADO/2026/DISSERTAÇÃO - TRAVELLING SALESMAN/"/>
    </mc:Choice>
  </mc:AlternateContent>
  <xr:revisionPtr revIDLastSave="28" documentId="11_28433617FBDFBB4855FCB3503C749FEAC19C43CD" xr6:coauthVersionLast="47" xr6:coauthVersionMax="47" xr10:uidLastSave="{ABA9ADEB-CE8F-4DD0-8B88-C9747BD9D014}"/>
  <bookViews>
    <workbookView xWindow="-105" yWindow="0" windowWidth="26010" windowHeight="20985" xr2:uid="{00000000-000D-0000-FFFF-FFFF00000000}"/>
  </bookViews>
  <sheets>
    <sheet name="Revisão TSP" sheetId="1" r:id="rId1"/>
    <sheet name="Estatíst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6" i="2"/>
  <c r="C6" i="2" s="1"/>
  <c r="B5" i="2"/>
  <c r="C5" i="2" s="1"/>
  <c r="B4" i="2"/>
  <c r="C4" i="2" s="1"/>
</calcChain>
</file>

<file path=xl/sharedStrings.xml><?xml version="1.0" encoding="utf-8"?>
<sst xmlns="http://schemas.openxmlformats.org/spreadsheetml/2006/main" count="182" uniqueCount="115">
  <si>
    <t>Tabela-Resumo: Trabalhos sobre TSP com Computação Quântica</t>
  </si>
  <si>
    <t>Fonte: Phillipson, F. (2025). Quantum Computing in Logistics and Supply Chain Management — an Overview.</t>
  </si>
  <si>
    <t>#</t>
  </si>
  <si>
    <t>Autores</t>
  </si>
  <si>
    <t>Ano</t>
  </si>
  <si>
    <t>Problema
Abordado</t>
  </si>
  <si>
    <t>Algoritmo
Quântico</t>
  </si>
  <si>
    <t>Paradigma</t>
  </si>
  <si>
    <t>Hardware /
Simulador</t>
  </si>
  <si>
    <t>Nº Cidades
(aprox.)</t>
  </si>
  <si>
    <t>Abordagem</t>
  </si>
  <si>
    <t>Observações</t>
  </si>
  <si>
    <t>Srinivasan et al.</t>
  </si>
  <si>
    <t>TSP</t>
  </si>
  <si>
    <t>QPE (Quantum Phase Estimation)</t>
  </si>
  <si>
    <t>IBM Quantum Simulator</t>
  </si>
  <si>
    <t>4 cidades</t>
  </si>
  <si>
    <t>Quântica</t>
  </si>
  <si>
    <t>Codifica distâncias como fases; busca o menor caminho com speedup quadrático sobre força bruta.</t>
  </si>
  <si>
    <t>Liu et al.</t>
  </si>
  <si>
    <t>QA + Busca Local Quântica</t>
  </si>
  <si>
    <t>QA - QUBO</t>
  </si>
  <si>
    <t>D-Wave</t>
  </si>
  <si>
    <t>Não especificado</t>
  </si>
  <si>
    <t>Híbrida</t>
  </si>
  <si>
    <t>Estratégia de path-slicing: divide o TSP em subproblemas menores resolvidos com QA e solvers clássicos.</t>
  </si>
  <si>
    <t>Bourreau et al.</t>
  </si>
  <si>
    <t>IQAOA (Indirect QAOA)</t>
  </si>
  <si>
    <t>Simulador</t>
  </si>
  <si>
    <t>8 cidades</t>
  </si>
  <si>
    <t>Uma das maiores instâncias de TSP resolvidas com abordagem QAOA. Usa meta-otimização clássica.</t>
  </si>
  <si>
    <t>Khumalo et al.</t>
  </si>
  <si>
    <t>TSP / QAP</t>
  </si>
  <si>
    <t>QAOA / VQE</t>
  </si>
  <si>
    <t>IBM Quantum (dispositivos mais recentes)</t>
  </si>
  <si>
    <t>Pequenas instâncias</t>
  </si>
  <si>
    <t>Algoritmos clássicos superam os quânticos em taxa de sucesso; VQE melhor que QAOA em qualidade.</t>
  </si>
  <si>
    <t>Palackal et al.</t>
  </si>
  <si>
    <t>TSP (reduzido do CVRP)</t>
  </si>
  <si>
    <t>VQE supera QAOA ao atingir limiar de energia para soluções viáveis. QAOA frequentemente falha.</t>
  </si>
  <si>
    <t>Palmieri</t>
  </si>
  <si>
    <t>TSP (fase de roteamento do CVRP)</t>
  </si>
  <si>
    <t>QA / QAOA / VQE / quantum GAVA</t>
  </si>
  <si>
    <t>D-Wave + Gurobi (clássico)</t>
  </si>
  <si>
    <t>Subtour elimination com estratégia DFJ. QA e quantum GAMA superam VQE. Reduz qubits necessários.</t>
  </si>
  <si>
    <t>Sato et al.</t>
  </si>
  <si>
    <t>Quantum Search + Grover (estado inicial)</t>
  </si>
  <si>
    <t>Usa codificação HOBO para reduzir requisitos de qubit e Grover para preparação do estado inicial.</t>
  </si>
  <si>
    <t>Ramezani et al.</t>
  </si>
  <si>
    <t>QAOA</t>
  </si>
  <si>
    <t>Reduz qubits de n² para n·log₂(n). Proposta para demonstrar supremacia quântica na era NISQ.</t>
  </si>
  <si>
    <t>Warren</t>
  </si>
  <si>
    <t>Full e Híbrida</t>
  </si>
  <si>
    <t>Analisa 4 programas para o TSP simétrico, incluindo soluções D-Wave. Referência comparativa.</t>
  </si>
  <si>
    <t>Azzaoui et al.</t>
  </si>
  <si>
    <t>TSP (roteirização smart logistics)</t>
  </si>
  <si>
    <t>IBM Quantum Lab / Qiskit</t>
  </si>
  <si>
    <t>Otimização multi-objetivo: custo, tempo e pegada de carbono. 91% de taxa de sucesso.</t>
  </si>
  <si>
    <t>Qiu et al.</t>
  </si>
  <si>
    <t>QACO (Quantum Ant Colony Optimization)</t>
  </si>
  <si>
    <t>Múltiplos datasets</t>
  </si>
  <si>
    <t>QACO integrado com K-means. Melhoria de desempenho e robustez a ruído vs. versão clássica.</t>
  </si>
  <si>
    <t>Salehi et al.</t>
  </si>
  <si>
    <t>TSPTW (TSP com janelas de tempo)</t>
  </si>
  <si>
    <t>D-Wave Advantage</t>
  </si>
  <si>
    <t>Três formulações QUBO diferentes. Modelo ILP supera modelo edge-based em probabilidade de ótimo.</t>
  </si>
  <si>
    <t>Papalitsas et al.</t>
  </si>
  <si>
    <t>Primeira formulação QUBO do TSPTW publicada na literatura.</t>
  </si>
  <si>
    <t>Le et al.</t>
  </si>
  <si>
    <t>sTSP (TSP Seletivo / Orienteering)</t>
  </si>
  <si>
    <t>Variável</t>
  </si>
  <si>
    <t>Analisa parâmetros: tempo de annealing, chain strength e qualidade da solução por nº de cidades.</t>
  </si>
  <si>
    <t>Spyridis et al.</t>
  </si>
  <si>
    <t>m-TSP (TSP Múltiplo)</t>
  </si>
  <si>
    <t>Formulação QUBO para m-TSP. Aplicação potencial em sistemas IoT.</t>
  </si>
  <si>
    <t>Tejani</t>
  </si>
  <si>
    <t>BTSP (Bottleneck TSP)</t>
  </si>
  <si>
    <t>Variante do TSP que minimiza a maior aresta da rota, em vez da soma total.</t>
  </si>
  <si>
    <t>Matt et al.</t>
  </si>
  <si>
    <t>TSP (sub-problema do Irregular Strip Packing)</t>
  </si>
  <si>
    <t>QAOA / QOBA</t>
  </si>
  <si>
    <t>Decompõe o problema de empacotamento em TSP + empacotamento retangular. Supera métodos clássicos.</t>
  </si>
  <si>
    <t>Estatísticas — Trabalhos sobre TSP com Computação Quântica</t>
  </si>
  <si>
    <t>DISTRIBUIÇÃO POR PARADIGMA</t>
  </si>
  <si>
    <t>Nº de Trabalhos</t>
  </si>
  <si>
    <t>% do Total</t>
  </si>
  <si>
    <t>Quantum Annealing (QA)</t>
  </si>
  <si>
    <t>Gate-based (QAOA/VQE/QPE)</t>
  </si>
  <si>
    <t>Híbrido (QA + Gate)</t>
  </si>
  <si>
    <t>Total de trabalhos TSP</t>
  </si>
  <si>
    <t>DISTRIBUIÇÃO POR ABORDAGEM</t>
  </si>
  <si>
    <t>Puramente Quântica</t>
  </si>
  <si>
    <t>VARIANTES DO TSP COBERTAS</t>
  </si>
  <si>
    <t>Variante</t>
  </si>
  <si>
    <t>TSP clássico</t>
  </si>
  <si>
    <t>TSPTW (com janelas de tempo)</t>
  </si>
  <si>
    <t>sTSP (seletivo / orienteering)</t>
  </si>
  <si>
    <t>m-TSP (múltiplo)</t>
  </si>
  <si>
    <t>BTSP (bottleneck)</t>
  </si>
  <si>
    <t>TSP como sub-problema</t>
  </si>
  <si>
    <t>PERÍODO COBERTO</t>
  </si>
  <si>
    <t>Primeiro trabalho</t>
  </si>
  <si>
    <t>Trabalho mais recente</t>
  </si>
  <si>
    <t>Múltiplos autores</t>
  </si>
  <si>
    <t>LEGENDA DE CORES — ABA REVISÃO TSP</t>
  </si>
  <si>
    <t>Abordagem Quântica (pura)</t>
  </si>
  <si>
    <t>Abordagem Híbrida</t>
  </si>
  <si>
    <t>QA como paradigma</t>
  </si>
  <si>
    <t>Gate-based como paradigma</t>
  </si>
  <si>
    <t>GBC</t>
  </si>
  <si>
    <t>GBC - QPE</t>
  </si>
  <si>
    <t>GBC - QAOA</t>
  </si>
  <si>
    <t>QA e GBC - QUBO</t>
  </si>
  <si>
    <t>GBC - QACO</t>
  </si>
  <si>
    <t>GBC - QAOA/VQE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</si>
</sst>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D9E2F3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9" fontId="8" fillId="7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9" fontId="8" fillId="7" borderId="0" xfId="1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ySplit="3" topLeftCell="A4" activePane="bottomLeft" state="frozen"/>
      <selection pane="bottomLeft" activeCell="F7" sqref="F7"/>
    </sheetView>
  </sheetViews>
  <sheetFormatPr defaultRowHeight="15" x14ac:dyDescent="0.25"/>
  <cols>
    <col min="1" max="1" width="4" customWidth="1"/>
    <col min="2" max="2" width="24" customWidth="1"/>
    <col min="3" max="3" width="6" customWidth="1"/>
    <col min="4" max="5" width="18" customWidth="1"/>
    <col min="6" max="6" width="14" customWidth="1"/>
    <col min="7" max="7" width="18" customWidth="1"/>
    <col min="8" max="8" width="12" customWidth="1"/>
    <col min="9" max="9" width="13.42578125" customWidth="1"/>
    <col min="10" max="10" width="37.7109375" bestFit="1" customWidth="1"/>
  </cols>
  <sheetData>
    <row r="1" spans="1:10" ht="30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95" customHeight="1" x14ac:dyDescent="0.25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51.95" customHeight="1" x14ac:dyDescent="0.25">
      <c r="A4" s="2">
        <v>1</v>
      </c>
      <c r="B4" s="3" t="s">
        <v>12</v>
      </c>
      <c r="C4" s="4">
        <v>2018</v>
      </c>
      <c r="D4" s="3" t="s">
        <v>13</v>
      </c>
      <c r="E4" s="3" t="s">
        <v>14</v>
      </c>
      <c r="F4" s="5" t="s">
        <v>110</v>
      </c>
      <c r="G4" s="3" t="s">
        <v>15</v>
      </c>
      <c r="H4" s="3" t="s">
        <v>16</v>
      </c>
      <c r="I4" s="6" t="s">
        <v>17</v>
      </c>
      <c r="J4" s="3" t="s">
        <v>18</v>
      </c>
    </row>
    <row r="5" spans="1:10" ht="51.95" customHeight="1" x14ac:dyDescent="0.25">
      <c r="A5" s="2">
        <v>2</v>
      </c>
      <c r="B5" s="7" t="s">
        <v>19</v>
      </c>
      <c r="C5" s="8">
        <v>2024</v>
      </c>
      <c r="D5" s="7" t="s">
        <v>13</v>
      </c>
      <c r="E5" s="7" t="s">
        <v>20</v>
      </c>
      <c r="F5" s="9" t="s">
        <v>21</v>
      </c>
      <c r="G5" s="7" t="s">
        <v>22</v>
      </c>
      <c r="H5" s="7" t="s">
        <v>23</v>
      </c>
      <c r="I5" s="10" t="s">
        <v>24</v>
      </c>
      <c r="J5" s="7" t="s">
        <v>25</v>
      </c>
    </row>
    <row r="6" spans="1:10" ht="51.95" customHeight="1" x14ac:dyDescent="0.25">
      <c r="A6" s="2">
        <v>3</v>
      </c>
      <c r="B6" s="3" t="s">
        <v>26</v>
      </c>
      <c r="C6" s="4">
        <v>2023</v>
      </c>
      <c r="D6" s="3" t="s">
        <v>13</v>
      </c>
      <c r="E6" s="3" t="s">
        <v>27</v>
      </c>
      <c r="F6" s="9" t="s">
        <v>111</v>
      </c>
      <c r="G6" s="3" t="s">
        <v>28</v>
      </c>
      <c r="H6" s="3" t="s">
        <v>29</v>
      </c>
      <c r="I6" s="10" t="s">
        <v>24</v>
      </c>
      <c r="J6" s="3" t="s">
        <v>30</v>
      </c>
    </row>
    <row r="7" spans="1:10" ht="51.95" customHeight="1" x14ac:dyDescent="0.25">
      <c r="A7" s="2">
        <v>4</v>
      </c>
      <c r="B7" s="7" t="s">
        <v>31</v>
      </c>
      <c r="C7" s="8">
        <v>2022</v>
      </c>
      <c r="D7" s="7" t="s">
        <v>32</v>
      </c>
      <c r="E7" s="7" t="s">
        <v>33</v>
      </c>
      <c r="F7" s="5" t="s">
        <v>114</v>
      </c>
      <c r="G7" s="7" t="s">
        <v>34</v>
      </c>
      <c r="H7" s="7" t="s">
        <v>35</v>
      </c>
      <c r="I7" s="10" t="s">
        <v>24</v>
      </c>
      <c r="J7" s="7" t="s">
        <v>36</v>
      </c>
    </row>
    <row r="8" spans="1:10" ht="51.95" customHeight="1" x14ac:dyDescent="0.25">
      <c r="A8" s="2">
        <v>5</v>
      </c>
      <c r="B8" s="3" t="s">
        <v>37</v>
      </c>
      <c r="C8" s="4">
        <v>2023</v>
      </c>
      <c r="D8" s="3" t="s">
        <v>38</v>
      </c>
      <c r="E8" s="3" t="s">
        <v>33</v>
      </c>
      <c r="F8" s="5" t="s">
        <v>114</v>
      </c>
      <c r="G8" s="3" t="s">
        <v>28</v>
      </c>
      <c r="H8" s="3" t="s">
        <v>35</v>
      </c>
      <c r="I8" s="10" t="s">
        <v>24</v>
      </c>
      <c r="J8" s="3" t="s">
        <v>39</v>
      </c>
    </row>
    <row r="9" spans="1:10" ht="51.95" customHeight="1" x14ac:dyDescent="0.25">
      <c r="A9" s="2">
        <v>6</v>
      </c>
      <c r="B9" s="7" t="s">
        <v>40</v>
      </c>
      <c r="C9" s="8">
        <v>2023</v>
      </c>
      <c r="D9" s="7" t="s">
        <v>41</v>
      </c>
      <c r="E9" s="7" t="s">
        <v>42</v>
      </c>
      <c r="F9" s="9" t="s">
        <v>112</v>
      </c>
      <c r="G9" s="7" t="s">
        <v>43</v>
      </c>
      <c r="H9" s="7" t="s">
        <v>23</v>
      </c>
      <c r="I9" s="10" t="s">
        <v>24</v>
      </c>
      <c r="J9" s="7" t="s">
        <v>44</v>
      </c>
    </row>
    <row r="10" spans="1:10" ht="51.95" customHeight="1" x14ac:dyDescent="0.25">
      <c r="A10" s="2">
        <v>7</v>
      </c>
      <c r="B10" s="3" t="s">
        <v>45</v>
      </c>
      <c r="C10" s="4">
        <v>2024</v>
      </c>
      <c r="D10" s="3" t="s">
        <v>13</v>
      </c>
      <c r="E10" s="3" t="s">
        <v>46</v>
      </c>
      <c r="F10" s="5" t="s">
        <v>109</v>
      </c>
      <c r="G10" s="3" t="s">
        <v>28</v>
      </c>
      <c r="H10" s="3" t="s">
        <v>23</v>
      </c>
      <c r="I10" s="6" t="s">
        <v>17</v>
      </c>
      <c r="J10" s="3" t="s">
        <v>47</v>
      </c>
    </row>
    <row r="11" spans="1:10" ht="51.95" customHeight="1" x14ac:dyDescent="0.25">
      <c r="A11" s="2">
        <v>8</v>
      </c>
      <c r="B11" s="7" t="s">
        <v>48</v>
      </c>
      <c r="C11" s="8">
        <v>2024</v>
      </c>
      <c r="D11" s="7" t="s">
        <v>13</v>
      </c>
      <c r="E11" s="7" t="s">
        <v>49</v>
      </c>
      <c r="F11" s="9" t="s">
        <v>111</v>
      </c>
      <c r="G11" s="7" t="s">
        <v>28</v>
      </c>
      <c r="H11" s="7" t="s">
        <v>23</v>
      </c>
      <c r="I11" s="10" t="s">
        <v>24</v>
      </c>
      <c r="J11" s="7" t="s">
        <v>50</v>
      </c>
    </row>
    <row r="12" spans="1:10" ht="51.95" customHeight="1" x14ac:dyDescent="0.25">
      <c r="A12" s="2">
        <v>9</v>
      </c>
      <c r="B12" s="3" t="s">
        <v>51</v>
      </c>
      <c r="C12" s="4">
        <v>2020</v>
      </c>
      <c r="D12" s="3" t="s">
        <v>13</v>
      </c>
      <c r="E12" s="3" t="s">
        <v>21</v>
      </c>
      <c r="F12" s="9" t="s">
        <v>21</v>
      </c>
      <c r="G12" s="3" t="s">
        <v>22</v>
      </c>
      <c r="H12" s="3" t="s">
        <v>23</v>
      </c>
      <c r="I12" s="11" t="s">
        <v>52</v>
      </c>
      <c r="J12" s="3" t="s">
        <v>53</v>
      </c>
    </row>
    <row r="13" spans="1:10" ht="51.95" customHeight="1" x14ac:dyDescent="0.25">
      <c r="A13" s="2">
        <v>10</v>
      </c>
      <c r="B13" s="7" t="s">
        <v>54</v>
      </c>
      <c r="C13" s="8">
        <v>2021</v>
      </c>
      <c r="D13" s="7" t="s">
        <v>55</v>
      </c>
      <c r="E13" s="7" t="s">
        <v>49</v>
      </c>
      <c r="F13" s="9" t="s">
        <v>111</v>
      </c>
      <c r="G13" s="7" t="s">
        <v>56</v>
      </c>
      <c r="H13" s="7" t="s">
        <v>23</v>
      </c>
      <c r="I13" s="10" t="s">
        <v>24</v>
      </c>
      <c r="J13" s="7" t="s">
        <v>57</v>
      </c>
    </row>
    <row r="14" spans="1:10" ht="51.95" customHeight="1" x14ac:dyDescent="0.25">
      <c r="A14" s="2">
        <v>11</v>
      </c>
      <c r="B14" s="3" t="s">
        <v>58</v>
      </c>
      <c r="C14" s="4">
        <v>2024</v>
      </c>
      <c r="D14" s="3" t="s">
        <v>13</v>
      </c>
      <c r="E14" s="3" t="s">
        <v>59</v>
      </c>
      <c r="F14" s="5" t="s">
        <v>113</v>
      </c>
      <c r="G14" s="3" t="s">
        <v>28</v>
      </c>
      <c r="H14" s="3" t="s">
        <v>60</v>
      </c>
      <c r="I14" s="10" t="s">
        <v>24</v>
      </c>
      <c r="J14" s="3" t="s">
        <v>61</v>
      </c>
    </row>
    <row r="15" spans="1:10" ht="51.95" customHeight="1" x14ac:dyDescent="0.25">
      <c r="A15" s="2">
        <v>12</v>
      </c>
      <c r="B15" s="7" t="s">
        <v>62</v>
      </c>
      <c r="C15" s="8">
        <v>2022</v>
      </c>
      <c r="D15" s="7" t="s">
        <v>63</v>
      </c>
      <c r="E15" s="7" t="s">
        <v>21</v>
      </c>
      <c r="F15" s="9" t="s">
        <v>21</v>
      </c>
      <c r="G15" s="7" t="s">
        <v>64</v>
      </c>
      <c r="H15" s="7" t="s">
        <v>16</v>
      </c>
      <c r="I15" s="6" t="s">
        <v>17</v>
      </c>
      <c r="J15" s="7" t="s">
        <v>65</v>
      </c>
    </row>
    <row r="16" spans="1:10" ht="51.95" customHeight="1" x14ac:dyDescent="0.25">
      <c r="A16" s="2">
        <v>13</v>
      </c>
      <c r="B16" s="3" t="s">
        <v>66</v>
      </c>
      <c r="C16" s="4">
        <v>2019</v>
      </c>
      <c r="D16" s="3" t="s">
        <v>63</v>
      </c>
      <c r="E16" s="3" t="s">
        <v>21</v>
      </c>
      <c r="F16" s="9" t="s">
        <v>21</v>
      </c>
      <c r="G16" s="3" t="s">
        <v>28</v>
      </c>
      <c r="H16" s="3" t="s">
        <v>23</v>
      </c>
      <c r="I16" s="6" t="s">
        <v>17</v>
      </c>
      <c r="J16" s="3" t="s">
        <v>67</v>
      </c>
    </row>
    <row r="17" spans="1:10" ht="51.95" customHeight="1" x14ac:dyDescent="0.25">
      <c r="A17" s="2">
        <v>14</v>
      </c>
      <c r="B17" s="7" t="s">
        <v>68</v>
      </c>
      <c r="C17" s="8">
        <v>2023</v>
      </c>
      <c r="D17" s="7" t="s">
        <v>69</v>
      </c>
      <c r="E17" s="7" t="s">
        <v>21</v>
      </c>
      <c r="F17" s="9" t="s">
        <v>21</v>
      </c>
      <c r="G17" s="7" t="s">
        <v>22</v>
      </c>
      <c r="H17" s="7" t="s">
        <v>70</v>
      </c>
      <c r="I17" s="10" t="s">
        <v>24</v>
      </c>
      <c r="J17" s="7" t="s">
        <v>71</v>
      </c>
    </row>
    <row r="18" spans="1:10" ht="51.95" customHeight="1" x14ac:dyDescent="0.25">
      <c r="A18" s="2">
        <v>15</v>
      </c>
      <c r="B18" s="3" t="s">
        <v>72</v>
      </c>
      <c r="C18" s="4">
        <v>2023</v>
      </c>
      <c r="D18" s="3" t="s">
        <v>73</v>
      </c>
      <c r="E18" s="3" t="s">
        <v>49</v>
      </c>
      <c r="F18" s="9" t="s">
        <v>111</v>
      </c>
      <c r="G18" s="3" t="s">
        <v>28</v>
      </c>
      <c r="H18" s="3" t="s">
        <v>23</v>
      </c>
      <c r="I18" s="10" t="s">
        <v>24</v>
      </c>
      <c r="J18" s="3" t="s">
        <v>74</v>
      </c>
    </row>
    <row r="19" spans="1:10" ht="51.95" customHeight="1" x14ac:dyDescent="0.25">
      <c r="A19" s="2">
        <v>16</v>
      </c>
      <c r="B19" s="7" t="s">
        <v>75</v>
      </c>
      <c r="C19" s="8">
        <v>2024</v>
      </c>
      <c r="D19" s="7" t="s">
        <v>76</v>
      </c>
      <c r="E19" s="7" t="s">
        <v>14</v>
      </c>
      <c r="F19" s="5" t="s">
        <v>110</v>
      </c>
      <c r="G19" s="7" t="s">
        <v>28</v>
      </c>
      <c r="H19" s="7" t="s">
        <v>23</v>
      </c>
      <c r="I19" s="6" t="s">
        <v>17</v>
      </c>
      <c r="J19" s="7" t="s">
        <v>77</v>
      </c>
    </row>
    <row r="20" spans="1:10" ht="51.95" customHeight="1" x14ac:dyDescent="0.25">
      <c r="A20" s="2">
        <v>17</v>
      </c>
      <c r="B20" s="3" t="s">
        <v>78</v>
      </c>
      <c r="C20" s="4">
        <v>2024</v>
      </c>
      <c r="D20" s="3" t="s">
        <v>79</v>
      </c>
      <c r="E20" s="3" t="s">
        <v>80</v>
      </c>
      <c r="F20" s="9" t="s">
        <v>111</v>
      </c>
      <c r="G20" s="3" t="s">
        <v>28</v>
      </c>
      <c r="H20" s="3" t="s">
        <v>23</v>
      </c>
      <c r="I20" s="10" t="s">
        <v>24</v>
      </c>
      <c r="J20" s="3" t="s">
        <v>81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>
      <selection activeCell="C7" sqref="C7"/>
    </sheetView>
  </sheetViews>
  <sheetFormatPr defaultRowHeight="15" x14ac:dyDescent="0.25"/>
  <cols>
    <col min="1" max="1" width="28" customWidth="1"/>
    <col min="2" max="2" width="18" customWidth="1"/>
    <col min="3" max="3" width="38" customWidth="1"/>
  </cols>
  <sheetData>
    <row r="1" spans="1:3" ht="27.95" customHeight="1" x14ac:dyDescent="0.25">
      <c r="A1" s="28" t="s">
        <v>82</v>
      </c>
      <c r="B1" s="26"/>
      <c r="C1" s="26"/>
    </row>
    <row r="2" spans="1:3" ht="18" customHeight="1" x14ac:dyDescent="0.25">
      <c r="A2" s="12" t="s">
        <v>83</v>
      </c>
      <c r="B2" s="13"/>
      <c r="C2" s="13"/>
    </row>
    <row r="3" spans="1:3" ht="18" customHeight="1" x14ac:dyDescent="0.25">
      <c r="A3" s="14" t="s">
        <v>7</v>
      </c>
      <c r="B3" s="15" t="s">
        <v>84</v>
      </c>
      <c r="C3" s="15" t="s">
        <v>85</v>
      </c>
    </row>
    <row r="4" spans="1:3" ht="18" customHeight="1" x14ac:dyDescent="0.25">
      <c r="A4" s="14" t="s">
        <v>86</v>
      </c>
      <c r="B4" s="15">
        <f>COUNTIF('Revisão TSP'!F4:F20,"*QA*")</f>
        <v>14</v>
      </c>
      <c r="C4" s="29">
        <f>B4/B7</f>
        <v>0.82352941176470584</v>
      </c>
    </row>
    <row r="5" spans="1:3" ht="18" customHeight="1" x14ac:dyDescent="0.25">
      <c r="A5" s="14" t="s">
        <v>87</v>
      </c>
      <c r="B5" s="15">
        <f>COUNTIF('Revisão TSP'!F4:F20,"*Gate*")</f>
        <v>0</v>
      </c>
      <c r="C5" s="16">
        <f>B5/17</f>
        <v>0</v>
      </c>
    </row>
    <row r="6" spans="1:3" ht="18" customHeight="1" x14ac:dyDescent="0.25">
      <c r="A6" s="14" t="s">
        <v>88</v>
      </c>
      <c r="B6" s="15">
        <f>COUNTIF('Revisão TSP'!F4:F20,"*e Gate*")</f>
        <v>0</v>
      </c>
      <c r="C6" s="16">
        <f>B6/17</f>
        <v>0</v>
      </c>
    </row>
    <row r="7" spans="1:3" ht="18" customHeight="1" x14ac:dyDescent="0.25">
      <c r="A7" s="14" t="s">
        <v>89</v>
      </c>
      <c r="B7" s="15">
        <v>17</v>
      </c>
      <c r="C7" s="15"/>
    </row>
    <row r="8" spans="1:3" ht="18" customHeight="1" x14ac:dyDescent="0.25">
      <c r="A8" s="14"/>
      <c r="B8" s="15"/>
      <c r="C8" s="15"/>
    </row>
    <row r="9" spans="1:3" ht="18" customHeight="1" x14ac:dyDescent="0.25">
      <c r="A9" s="12" t="s">
        <v>90</v>
      </c>
      <c r="B9" s="13"/>
      <c r="C9" s="13"/>
    </row>
    <row r="10" spans="1:3" ht="18" customHeight="1" x14ac:dyDescent="0.25">
      <c r="A10" s="14" t="s">
        <v>10</v>
      </c>
      <c r="B10" s="15" t="s">
        <v>84</v>
      </c>
      <c r="C10" s="15"/>
    </row>
    <row r="11" spans="1:3" ht="18" customHeight="1" x14ac:dyDescent="0.25">
      <c r="A11" s="14" t="s">
        <v>91</v>
      </c>
      <c r="B11" s="15">
        <f>COUNTIF('Revisão TSP'!I4:I20,"Quântica")</f>
        <v>5</v>
      </c>
      <c r="C11" s="15"/>
    </row>
    <row r="12" spans="1:3" ht="18" customHeight="1" x14ac:dyDescent="0.25">
      <c r="A12" s="14" t="s">
        <v>24</v>
      </c>
      <c r="B12" s="15">
        <f>COUNTIF('Revisão TSP'!I4:I20,"Híbrida")</f>
        <v>11</v>
      </c>
      <c r="C12" s="15"/>
    </row>
    <row r="13" spans="1:3" ht="18" customHeight="1" x14ac:dyDescent="0.25">
      <c r="A13" s="14" t="s">
        <v>52</v>
      </c>
      <c r="B13" s="15">
        <f>COUNTIF('Revisão TSP'!I4:I20,"Full e Híbrida")</f>
        <v>1</v>
      </c>
      <c r="C13" s="15"/>
    </row>
    <row r="14" spans="1:3" ht="18" customHeight="1" x14ac:dyDescent="0.25">
      <c r="A14" s="14"/>
      <c r="B14" s="15"/>
      <c r="C14" s="15"/>
    </row>
    <row r="15" spans="1:3" ht="18" customHeight="1" x14ac:dyDescent="0.25">
      <c r="A15" s="12" t="s">
        <v>92</v>
      </c>
      <c r="B15" s="13"/>
      <c r="C15" s="13"/>
    </row>
    <row r="16" spans="1:3" ht="18" customHeight="1" x14ac:dyDescent="0.25">
      <c r="A16" s="14" t="s">
        <v>93</v>
      </c>
      <c r="B16" s="15" t="s">
        <v>84</v>
      </c>
      <c r="C16" s="15"/>
    </row>
    <row r="17" spans="1:3" ht="18" customHeight="1" x14ac:dyDescent="0.25">
      <c r="A17" s="14" t="s">
        <v>94</v>
      </c>
      <c r="B17" s="15">
        <v>10</v>
      </c>
      <c r="C17" s="15"/>
    </row>
    <row r="18" spans="1:3" ht="18" customHeight="1" x14ac:dyDescent="0.25">
      <c r="A18" s="14" t="s">
        <v>95</v>
      </c>
      <c r="B18" s="15">
        <v>2</v>
      </c>
      <c r="C18" s="15"/>
    </row>
    <row r="19" spans="1:3" ht="18" customHeight="1" x14ac:dyDescent="0.25">
      <c r="A19" s="14" t="s">
        <v>96</v>
      </c>
      <c r="B19" s="15">
        <v>1</v>
      </c>
      <c r="C19" s="15"/>
    </row>
    <row r="20" spans="1:3" ht="18" customHeight="1" x14ac:dyDescent="0.25">
      <c r="A20" s="14" t="s">
        <v>97</v>
      </c>
      <c r="B20" s="15">
        <v>1</v>
      </c>
      <c r="C20" s="15"/>
    </row>
    <row r="21" spans="1:3" ht="18" customHeight="1" x14ac:dyDescent="0.25">
      <c r="A21" s="14" t="s">
        <v>98</v>
      </c>
      <c r="B21" s="15">
        <v>1</v>
      </c>
      <c r="C21" s="15"/>
    </row>
    <row r="22" spans="1:3" ht="18" customHeight="1" x14ac:dyDescent="0.25">
      <c r="A22" s="14" t="s">
        <v>99</v>
      </c>
      <c r="B22" s="15">
        <v>2</v>
      </c>
      <c r="C22" s="15"/>
    </row>
    <row r="23" spans="1:3" ht="18" customHeight="1" x14ac:dyDescent="0.25">
      <c r="A23" s="14"/>
      <c r="B23" s="15"/>
      <c r="C23" s="15"/>
    </row>
    <row r="24" spans="1:3" ht="18" customHeight="1" x14ac:dyDescent="0.25">
      <c r="A24" s="12" t="s">
        <v>100</v>
      </c>
      <c r="B24" s="13"/>
      <c r="C24" s="13"/>
    </row>
    <row r="25" spans="1:3" ht="18" customHeight="1" x14ac:dyDescent="0.25">
      <c r="A25" s="14" t="s">
        <v>101</v>
      </c>
      <c r="B25" s="15">
        <v>2018</v>
      </c>
      <c r="C25" s="15" t="s">
        <v>12</v>
      </c>
    </row>
    <row r="26" spans="1:3" ht="18" customHeight="1" x14ac:dyDescent="0.25">
      <c r="A26" s="14" t="s">
        <v>102</v>
      </c>
      <c r="B26" s="15">
        <v>2024</v>
      </c>
      <c r="C26" s="15" t="s">
        <v>103</v>
      </c>
    </row>
    <row r="27" spans="1:3" ht="18" customHeight="1" x14ac:dyDescent="0.25">
      <c r="A27" s="12"/>
      <c r="B27" s="13"/>
      <c r="C27" s="13"/>
    </row>
    <row r="28" spans="1:3" ht="18" customHeight="1" x14ac:dyDescent="0.25">
      <c r="A28" s="17" t="s">
        <v>104</v>
      </c>
      <c r="B28" s="18"/>
      <c r="C28" s="18"/>
    </row>
    <row r="29" spans="1:3" ht="18" customHeight="1" x14ac:dyDescent="0.25">
      <c r="A29" s="19" t="s">
        <v>105</v>
      </c>
      <c r="B29" s="20"/>
      <c r="C29" s="20"/>
    </row>
    <row r="30" spans="1:3" ht="18" customHeight="1" x14ac:dyDescent="0.25">
      <c r="A30" s="21" t="s">
        <v>106</v>
      </c>
      <c r="B30" s="22"/>
      <c r="C30" s="22"/>
    </row>
    <row r="31" spans="1:3" ht="18" customHeight="1" x14ac:dyDescent="0.25">
      <c r="A31" s="23" t="s">
        <v>107</v>
      </c>
      <c r="B31" s="24"/>
      <c r="C31" s="24"/>
    </row>
    <row r="32" spans="1:3" ht="18" customHeight="1" x14ac:dyDescent="0.25">
      <c r="A32" s="14" t="s">
        <v>108</v>
      </c>
      <c r="B32" s="15"/>
      <c r="C32" s="1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Revisão TSP</vt:lpstr>
      <vt:lpstr>Estatísticas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cardoso</cp:lastModifiedBy>
  <dcterms:created xsi:type="dcterms:W3CDTF">2026-03-16T21:40:11Z</dcterms:created>
  <dcterms:modified xsi:type="dcterms:W3CDTF">2026-03-16T21:47:51Z</dcterms:modified>
</cp:coreProperties>
</file>