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yna\_python_projects\personal\portfolio-projects\quantum_tsp_research\artefatos\"/>
    </mc:Choice>
  </mc:AlternateContent>
  <xr:revisionPtr revIDLastSave="0" documentId="13_ncr:1_{8B985E2D-60FD-4018-B74F-BFE669EEAA74}" xr6:coauthVersionLast="47" xr6:coauthVersionMax="47" xr10:uidLastSave="{00000000-0000-0000-0000-000000000000}"/>
  <bookViews>
    <workbookView xWindow="-23148" yWindow="-1884" windowWidth="23256" windowHeight="12456" xr2:uid="{00000000-000D-0000-FFFF-FFFF00000000}"/>
  </bookViews>
  <sheets>
    <sheet name="Palavras-Chave vs Artigos" sheetId="1" r:id="rId1"/>
  </sheets>
  <definedNames>
    <definedName name="_xlnm._FilterDatabase" localSheetId="0" hidden="1">'Palavras-Chave vs Artigos'!$B$5:$F$31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A23" i="1"/>
  <c r="A24" i="1" s="1"/>
  <c r="A25" i="1" s="1"/>
  <c r="A26" i="1" s="1"/>
  <c r="A27" i="1" s="1"/>
  <c r="A28" i="1" s="1"/>
  <c r="A29" i="1" s="1"/>
  <c r="A30" i="1" s="1"/>
  <c r="A3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<sst xmlns="http://schemas.openxmlformats.org/spreadsheetml/2006/main" count="114" uniqueCount="41">
  <si>
    <t>Levantamento Bibliográfico — TSP + Computação Quântica</t>
  </si>
  <si>
    <t>Preencha a coluna "Total de Artigos" com os resultados da busca no Lens.org (filtro: Scholarly Works)</t>
  </si>
  <si>
    <t>#</t>
  </si>
  <si>
    <t>String de Busca</t>
  </si>
  <si>
    <t>Base</t>
  </si>
  <si>
    <t>Filtro</t>
  </si>
  <si>
    <t>Prioridade</t>
  </si>
  <si>
    <t>Total de Artigos</t>
  </si>
  <si>
    <t>Lens.org</t>
  </si>
  <si>
    <t>Scholarly Works</t>
  </si>
  <si>
    <t>Alta</t>
  </si>
  <si>
    <t>Média</t>
  </si>
  <si>
    <t>"Route Optimization" AND "Quantum" AND "Logistics"</t>
  </si>
  <si>
    <t>Baixa</t>
  </si>
  <si>
    <t>"Hamiltonian Cycle" AND "Quantum"</t>
  </si>
  <si>
    <t>TOTAL GERAL</t>
  </si>
  <si>
    <t>"Traveling Salesman Problem" AND "Quantum Computing"</t>
  </si>
  <si>
    <t>"TSP" AND "Quantum Annealing"</t>
  </si>
  <si>
    <t xml:space="preserve">"Traveling Salesman" AND "QAOA" </t>
  </si>
  <si>
    <t>"TSP" AND "Hybrid Quantum"</t>
  </si>
  <si>
    <t>"Vehicle Routing" AND "Quantum Computing"</t>
  </si>
  <si>
    <t>"Combinatorial Optimization" AND "Quantum Annealing"</t>
  </si>
  <si>
    <t>"TSP" AND "VQE"</t>
  </si>
  <si>
    <t xml:space="preserve">"Traveling Salesman" AND "Grover" </t>
  </si>
  <si>
    <t>"QUBO" AND "Traveling Salesman"</t>
  </si>
  <si>
    <t xml:space="preserve">"TSP" AND "D-Wave" </t>
  </si>
  <si>
    <t>"TSP" AND "IBM Quantum"</t>
  </si>
  <si>
    <t xml:space="preserve">"Traveling Salesman" AND "Ising Model" </t>
  </si>
  <si>
    <t>"Vehicle Routing" AND "Quantum Annealing" AND "Logistics"</t>
  </si>
  <si>
    <t>"Traveling Salesman" AND "Quantum Algorithms"</t>
  </si>
  <si>
    <t>"Vehicle Routing Problem" AND "QAOA"</t>
  </si>
  <si>
    <t xml:space="preserve">"Quantum Computing" AND "Supply Chain Management" </t>
  </si>
  <si>
    <t>"Traveling Salesman" AND "Quantum-Inspired"</t>
  </si>
  <si>
    <t>"Quantum Reinforcement Learning" AND "Routing"</t>
  </si>
  <si>
    <t>"CVRP" AND "Quantum Annealing"</t>
  </si>
  <si>
    <t>"Job Shop Scheduling" AND "Quantum"</t>
  </si>
  <si>
    <t>"Bin Packing" AND "Quantum"</t>
  </si>
  <si>
    <t>"Facility Location" AND "Quantum Computing"</t>
  </si>
  <si>
    <t>"Knapsack Problem" AND "Quantum"</t>
  </si>
  <si>
    <t>"Quantum Machine Learning" AND "Supply Chain"</t>
  </si>
  <si>
    <t>Data da busca: 13/03/2026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</si>
</sst>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2E75B6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sz val="11"/>
      <name val="Arial"/>
      <family val="2"/>
    </font>
    <font>
      <i/>
      <sz val="10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0" borderId="0" xfId="0" applyFont="1"/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5" borderId="0" xfId="0" applyFill="1"/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10" workbookViewId="0">
      <selection activeCell="B16" sqref="B16"/>
    </sheetView>
  </sheetViews>
  <sheetFormatPr defaultRowHeight="15" x14ac:dyDescent="0.25"/>
  <cols>
    <col min="1" max="1" width="5" customWidth="1"/>
    <col min="2" max="2" width="64.140625" customWidth="1"/>
    <col min="3" max="3" width="10.7109375" bestFit="1" customWidth="1"/>
    <col min="4" max="4" width="18" customWidth="1"/>
    <col min="5" max="5" width="16.140625" bestFit="1" customWidth="1"/>
    <col min="6" max="6" width="18" customWidth="1"/>
    <col min="10" max="10" width="81.85546875" bestFit="1" customWidth="1"/>
    <col min="12" max="12" width="15.140625" bestFit="1" customWidth="1"/>
    <col min="13" max="13" width="11.85546875" customWidth="1"/>
  </cols>
  <sheetData>
    <row r="1" spans="1:6" ht="18" x14ac:dyDescent="0.25">
      <c r="A1" s="7" t="s">
        <v>0</v>
      </c>
      <c r="B1" s="4"/>
      <c r="C1" s="4"/>
      <c r="D1" s="4"/>
      <c r="E1" s="4"/>
      <c r="F1" s="4"/>
    </row>
    <row r="2" spans="1:6" x14ac:dyDescent="0.25">
      <c r="A2" s="3" t="s">
        <v>1</v>
      </c>
      <c r="B2" s="4"/>
      <c r="C2" s="4"/>
      <c r="D2" s="4"/>
      <c r="E2" s="4"/>
      <c r="F2" s="4"/>
    </row>
    <row r="3" spans="1:6" x14ac:dyDescent="0.25">
      <c r="A3" s="13" t="s">
        <v>40</v>
      </c>
      <c r="B3" s="4"/>
      <c r="C3" s="4"/>
      <c r="D3" s="4"/>
      <c r="E3" s="4"/>
      <c r="F3" s="4"/>
    </row>
    <row r="5" spans="1:6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x14ac:dyDescent="0.25">
      <c r="A6" s="8">
        <v>1</v>
      </c>
      <c r="B6" s="9" t="s">
        <v>16</v>
      </c>
      <c r="C6" t="s">
        <v>8</v>
      </c>
      <c r="D6" t="s">
        <v>9</v>
      </c>
      <c r="E6" t="s">
        <v>10</v>
      </c>
      <c r="F6" s="10">
        <v>391</v>
      </c>
    </row>
    <row r="7" spans="1:6" x14ac:dyDescent="0.25">
      <c r="A7" s="8">
        <f>A6+1</f>
        <v>2</v>
      </c>
      <c r="B7" s="11" t="s">
        <v>29</v>
      </c>
      <c r="C7" t="s">
        <v>8</v>
      </c>
      <c r="D7" t="s">
        <v>9</v>
      </c>
      <c r="E7" t="s">
        <v>10</v>
      </c>
      <c r="F7" s="10">
        <v>264</v>
      </c>
    </row>
    <row r="8" spans="1:6" x14ac:dyDescent="0.25">
      <c r="A8" s="8">
        <f t="shared" ref="A8:A21" si="0">A7+1</f>
        <v>3</v>
      </c>
      <c r="B8" s="9" t="s">
        <v>17</v>
      </c>
      <c r="C8" t="s">
        <v>8</v>
      </c>
      <c r="D8" t="s">
        <v>9</v>
      </c>
      <c r="E8" t="s">
        <v>10</v>
      </c>
      <c r="F8" s="10">
        <v>124</v>
      </c>
    </row>
    <row r="9" spans="1:6" x14ac:dyDescent="0.25">
      <c r="A9" s="8">
        <f t="shared" si="0"/>
        <v>4</v>
      </c>
      <c r="B9" s="11" t="s">
        <v>18</v>
      </c>
      <c r="C9" t="s">
        <v>8</v>
      </c>
      <c r="D9" t="s">
        <v>9</v>
      </c>
      <c r="E9" t="s">
        <v>10</v>
      </c>
      <c r="F9" s="10">
        <v>82</v>
      </c>
    </row>
    <row r="10" spans="1:6" x14ac:dyDescent="0.25">
      <c r="A10" s="8">
        <f t="shared" si="0"/>
        <v>5</v>
      </c>
      <c r="B10" s="11" t="s">
        <v>19</v>
      </c>
      <c r="C10" t="s">
        <v>8</v>
      </c>
      <c r="D10" t="s">
        <v>9</v>
      </c>
      <c r="E10" t="s">
        <v>10</v>
      </c>
      <c r="F10" s="10">
        <v>68</v>
      </c>
    </row>
    <row r="11" spans="1:6" x14ac:dyDescent="0.25">
      <c r="A11" s="8">
        <f t="shared" si="0"/>
        <v>6</v>
      </c>
      <c r="B11" s="11" t="s">
        <v>20</v>
      </c>
      <c r="C11" t="s">
        <v>8</v>
      </c>
      <c r="D11" t="s">
        <v>9</v>
      </c>
      <c r="E11" t="s">
        <v>10</v>
      </c>
      <c r="F11" s="10">
        <v>179</v>
      </c>
    </row>
    <row r="12" spans="1:6" x14ac:dyDescent="0.25">
      <c r="A12" s="8">
        <f t="shared" si="0"/>
        <v>7</v>
      </c>
      <c r="B12" s="11" t="s">
        <v>21</v>
      </c>
      <c r="C12" t="s">
        <v>8</v>
      </c>
      <c r="D12" t="s">
        <v>9</v>
      </c>
      <c r="E12" t="s">
        <v>11</v>
      </c>
      <c r="F12" s="10">
        <v>1010</v>
      </c>
    </row>
    <row r="13" spans="1:6" x14ac:dyDescent="0.25">
      <c r="A13" s="8">
        <f t="shared" si="0"/>
        <v>8</v>
      </c>
      <c r="B13" s="11" t="s">
        <v>22</v>
      </c>
      <c r="C13" t="s">
        <v>8</v>
      </c>
      <c r="D13" t="s">
        <v>9</v>
      </c>
      <c r="E13" t="s">
        <v>11</v>
      </c>
      <c r="F13" s="10">
        <v>20</v>
      </c>
    </row>
    <row r="14" spans="1:6" x14ac:dyDescent="0.25">
      <c r="A14" s="8">
        <f t="shared" si="0"/>
        <v>9</v>
      </c>
      <c r="B14" s="11" t="s">
        <v>23</v>
      </c>
      <c r="C14" t="s">
        <v>8</v>
      </c>
      <c r="D14" t="s">
        <v>9</v>
      </c>
      <c r="E14" t="s">
        <v>11</v>
      </c>
      <c r="F14" s="10">
        <v>333</v>
      </c>
    </row>
    <row r="15" spans="1:6" x14ac:dyDescent="0.25">
      <c r="A15" s="8">
        <f t="shared" si="0"/>
        <v>10</v>
      </c>
      <c r="B15" s="11" t="s">
        <v>24</v>
      </c>
      <c r="C15" t="s">
        <v>8</v>
      </c>
      <c r="D15" t="s">
        <v>9</v>
      </c>
      <c r="E15" t="s">
        <v>11</v>
      </c>
      <c r="F15" s="10">
        <v>142</v>
      </c>
    </row>
    <row r="16" spans="1:6" x14ac:dyDescent="0.25">
      <c r="A16" s="8">
        <f t="shared" si="0"/>
        <v>11</v>
      </c>
      <c r="B16" s="11" t="s">
        <v>12</v>
      </c>
      <c r="C16" t="s">
        <v>8</v>
      </c>
      <c r="D16" t="s">
        <v>9</v>
      </c>
      <c r="E16" t="s">
        <v>11</v>
      </c>
      <c r="F16" s="10">
        <v>106</v>
      </c>
    </row>
    <row r="17" spans="1:6" x14ac:dyDescent="0.25">
      <c r="A17" s="8">
        <f t="shared" si="0"/>
        <v>12</v>
      </c>
      <c r="B17" s="11" t="s">
        <v>25</v>
      </c>
      <c r="C17" t="s">
        <v>8</v>
      </c>
      <c r="D17" t="s">
        <v>9</v>
      </c>
      <c r="E17" t="s">
        <v>11</v>
      </c>
      <c r="F17" s="10">
        <v>88</v>
      </c>
    </row>
    <row r="18" spans="1:6" x14ac:dyDescent="0.25">
      <c r="A18" s="8">
        <f t="shared" si="0"/>
        <v>13</v>
      </c>
      <c r="B18" s="11" t="s">
        <v>26</v>
      </c>
      <c r="C18" t="s">
        <v>8</v>
      </c>
      <c r="D18" t="s">
        <v>9</v>
      </c>
      <c r="E18" t="s">
        <v>13</v>
      </c>
      <c r="F18" s="10">
        <v>18</v>
      </c>
    </row>
    <row r="19" spans="1:6" x14ac:dyDescent="0.25">
      <c r="A19" s="8">
        <f t="shared" si="0"/>
        <v>14</v>
      </c>
      <c r="B19" s="11" t="s">
        <v>27</v>
      </c>
      <c r="C19" t="s">
        <v>8</v>
      </c>
      <c r="D19" t="s">
        <v>9</v>
      </c>
      <c r="E19" t="s">
        <v>13</v>
      </c>
      <c r="F19" s="10">
        <v>274</v>
      </c>
    </row>
    <row r="20" spans="1:6" x14ac:dyDescent="0.25">
      <c r="A20" s="8">
        <f t="shared" si="0"/>
        <v>15</v>
      </c>
      <c r="B20" s="11" t="s">
        <v>28</v>
      </c>
      <c r="C20" t="s">
        <v>8</v>
      </c>
      <c r="D20" t="s">
        <v>9</v>
      </c>
      <c r="E20" t="s">
        <v>13</v>
      </c>
      <c r="F20" s="10">
        <v>41</v>
      </c>
    </row>
    <row r="21" spans="1:6" x14ac:dyDescent="0.25">
      <c r="A21" s="8">
        <f t="shared" si="0"/>
        <v>16</v>
      </c>
      <c r="B21" s="11" t="s">
        <v>14</v>
      </c>
      <c r="C21" t="s">
        <v>8</v>
      </c>
      <c r="D21" t="s">
        <v>9</v>
      </c>
      <c r="E21" t="s">
        <v>13</v>
      </c>
      <c r="F21" s="10">
        <v>246</v>
      </c>
    </row>
    <row r="22" spans="1:6" x14ac:dyDescent="0.25">
      <c r="A22" s="14">
        <v>17</v>
      </c>
      <c r="B22" s="15" t="s">
        <v>30</v>
      </c>
      <c r="C22" s="16" t="s">
        <v>8</v>
      </c>
      <c r="D22" s="16" t="s">
        <v>9</v>
      </c>
      <c r="E22" s="16" t="s">
        <v>10</v>
      </c>
      <c r="F22" s="17">
        <v>29</v>
      </c>
    </row>
    <row r="23" spans="1:6" x14ac:dyDescent="0.25">
      <c r="A23" s="14">
        <f>A22+1</f>
        <v>18</v>
      </c>
      <c r="B23" s="15" t="s">
        <v>31</v>
      </c>
      <c r="C23" s="16" t="s">
        <v>8</v>
      </c>
      <c r="D23" s="16" t="s">
        <v>9</v>
      </c>
      <c r="E23" s="16" t="s">
        <v>10</v>
      </c>
      <c r="F23" s="17">
        <v>386</v>
      </c>
    </row>
    <row r="24" spans="1:6" x14ac:dyDescent="0.25">
      <c r="A24" s="14">
        <f t="shared" ref="A24:A31" si="1">A23+1</f>
        <v>19</v>
      </c>
      <c r="B24" s="15" t="s">
        <v>32</v>
      </c>
      <c r="C24" s="16" t="s">
        <v>8</v>
      </c>
      <c r="D24" s="16" t="s">
        <v>9</v>
      </c>
      <c r="E24" s="16" t="s">
        <v>11</v>
      </c>
      <c r="F24" s="17">
        <v>182</v>
      </c>
    </row>
    <row r="25" spans="1:6" x14ac:dyDescent="0.25">
      <c r="A25" s="14">
        <f t="shared" si="1"/>
        <v>20</v>
      </c>
      <c r="B25" s="15" t="s">
        <v>33</v>
      </c>
      <c r="C25" s="16" t="s">
        <v>8</v>
      </c>
      <c r="D25" s="16" t="s">
        <v>9</v>
      </c>
      <c r="E25" s="16" t="s">
        <v>11</v>
      </c>
      <c r="F25" s="17">
        <v>21</v>
      </c>
    </row>
    <row r="26" spans="1:6" x14ac:dyDescent="0.25">
      <c r="A26" s="14">
        <f t="shared" si="1"/>
        <v>21</v>
      </c>
      <c r="B26" s="15" t="s">
        <v>34</v>
      </c>
      <c r="C26" s="16" t="s">
        <v>8</v>
      </c>
      <c r="D26" s="16" t="s">
        <v>9</v>
      </c>
      <c r="E26" s="16" t="s">
        <v>11</v>
      </c>
      <c r="F26" s="17">
        <v>18</v>
      </c>
    </row>
    <row r="27" spans="1:6" x14ac:dyDescent="0.25">
      <c r="A27" s="14">
        <f t="shared" si="1"/>
        <v>22</v>
      </c>
      <c r="B27" s="15" t="s">
        <v>35</v>
      </c>
      <c r="C27" s="16" t="s">
        <v>8</v>
      </c>
      <c r="D27" s="16" t="s">
        <v>9</v>
      </c>
      <c r="E27" s="16" t="s">
        <v>11</v>
      </c>
      <c r="F27" s="17">
        <v>342</v>
      </c>
    </row>
    <row r="28" spans="1:6" x14ac:dyDescent="0.25">
      <c r="A28" s="14">
        <f t="shared" si="1"/>
        <v>23</v>
      </c>
      <c r="B28" s="15" t="s">
        <v>36</v>
      </c>
      <c r="C28" s="16" t="s">
        <v>8</v>
      </c>
      <c r="D28" s="16" t="s">
        <v>9</v>
      </c>
      <c r="E28" s="16" t="s">
        <v>13</v>
      </c>
      <c r="F28" s="17">
        <v>249</v>
      </c>
    </row>
    <row r="29" spans="1:6" x14ac:dyDescent="0.25">
      <c r="A29" s="14">
        <f t="shared" si="1"/>
        <v>24</v>
      </c>
      <c r="B29" s="15" t="s">
        <v>37</v>
      </c>
      <c r="C29" s="16" t="s">
        <v>8</v>
      </c>
      <c r="D29" s="16" t="s">
        <v>9</v>
      </c>
      <c r="E29" s="16" t="s">
        <v>13</v>
      </c>
      <c r="F29" s="17">
        <v>30</v>
      </c>
    </row>
    <row r="30" spans="1:6" x14ac:dyDescent="0.25">
      <c r="A30" s="14">
        <f t="shared" si="1"/>
        <v>25</v>
      </c>
      <c r="B30" s="15" t="s">
        <v>38</v>
      </c>
      <c r="C30" s="16" t="s">
        <v>8</v>
      </c>
      <c r="D30" s="16" t="s">
        <v>9</v>
      </c>
      <c r="E30" s="16" t="s">
        <v>13</v>
      </c>
      <c r="F30" s="17">
        <v>814</v>
      </c>
    </row>
    <row r="31" spans="1:6" x14ac:dyDescent="0.25">
      <c r="A31" s="14">
        <f t="shared" si="1"/>
        <v>26</v>
      </c>
      <c r="B31" s="15" t="s">
        <v>39</v>
      </c>
      <c r="C31" s="16" t="s">
        <v>8</v>
      </c>
      <c r="D31" s="16" t="s">
        <v>9</v>
      </c>
      <c r="E31" s="16" t="s">
        <v>13</v>
      </c>
      <c r="F31" s="17">
        <v>79</v>
      </c>
    </row>
    <row r="32" spans="1:6" x14ac:dyDescent="0.25">
      <c r="A32" s="12"/>
      <c r="B32" s="11"/>
      <c r="F32" s="10"/>
    </row>
    <row r="33" spans="1:6" x14ac:dyDescent="0.25">
      <c r="A33" s="5" t="s">
        <v>15</v>
      </c>
      <c r="B33" s="6"/>
      <c r="C33" s="6"/>
      <c r="D33" s="6"/>
      <c r="E33" s="2"/>
      <c r="F33" s="1">
        <f>SUM(F6:F31)</f>
        <v>5536</v>
      </c>
    </row>
  </sheetData>
  <autoFilter ref="B5:F31" xr:uid="{00000000-0001-0000-0000-000000000000}"/>
  <mergeCells count="4">
    <mergeCell ref="A3:F3"/>
    <mergeCell ref="A2:F2"/>
    <mergeCell ref="A33:D3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Palavras-Chave vs Artigos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cardoso</cp:lastModifiedBy>
  <dcterms:created xsi:type="dcterms:W3CDTF">2026-03-10T15:00:29Z</dcterms:created>
  <dcterms:modified xsi:type="dcterms:W3CDTF">2026-03-13T15:17:58Z</dcterms:modified>
</cp:coreProperties>
</file>